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ntesi" sheetId="1" state="visible" r:id="rId3"/>
    <sheet name="Landscape" sheetId="2" state="visible" r:id="rId4"/>
    <sheet name="Cosa rubare" sheetId="3" state="visible" r:id="rId5"/>
    <sheet name="Posizionamento" sheetId="4" state="visible" r:id="rId6"/>
  </sheets>
  <definedNames>
    <definedName function="false" hidden="true" localSheetId="1" name="_xlnm._FilterDatabase" vbProcedure="false">Landscape!$A$1:$P$21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<sst xmlns="http://schemas.openxmlformats.org/spreadsheetml/2006/main" count="392" uniqueCount="261">
  <si>
    <t xml:space="preserve">Market Mapping — App di finanza personale (ledger-first)</t>
  </si>
  <si>
    <t xml:space="preserve">Soluzioni simili da cui ispirarci · Competitive intelligence 2026</t>
  </si>
  <si>
    <t xml:space="preserve">A cosa serve</t>
  </si>
  <si>
    <t xml:space="preserve">Mappa i prodotti vicini al nostro per rubare idee di feature/UX e per individuare lo spazio vuoto. NB: non è la mappa B2B WealthTech (Aladdin, Bloomberg PORT, Riskalyze) — quello è l'altro progetto. Qui i comparabili sono app di finanza personale.</t>
  </si>
  <si>
    <t xml:space="preserve">L'insight chiave — il mercato è spaccato in due cluster</t>
  </si>
  <si>
    <t xml:space="preserve">1) Contabilità profonda, UX datata/tecnica</t>
  </si>
  <si>
    <t xml:space="preserve">GnuCash · Beancount/Fava · Firefly III · KMyMoney — double-entry vero, BS/IS reali, ma interfacce vecchie o da sviluppatore.</t>
  </si>
  <si>
    <t xml:space="preserve">2) UX bellissima, contabilità superficiale</t>
  </si>
  <si>
    <t xml:space="preserve">Monarch · Copilot · YNAB · Actual · Maybe — moderni e curati, ma transazioni flat / envelope; il net worth è aggregazione di saldi, non un ledger double-entry. Nessun BS/IS/CF reale.</t>
  </si>
  <si>
    <t xml:space="preserve">→ Lo spazio vuoto (nostro)</t>
  </si>
  <si>
    <t xml:space="preserve">Contabilità vera (double-entry → BS/IS/CF + Snapshot) CON UX moderna, in locale, single-file, open-source e IT-first. L'unico vicino è Banktivity — ma solo Mac, proprietario, US-leaning e senza statement reali.</t>
  </si>
  <si>
    <t xml:space="preserve">Due prodotti da studiare a fondo (★)</t>
  </si>
  <si>
    <t xml:space="preserve">Actual Budget</t>
  </si>
  <si>
    <t xml:space="preserve">Valida la tua architettura: 1 budget = 1 file SQLite portabile, import standard, rules engine, API locale. È il 'come' del local-first fatto bene.</t>
  </si>
  <si>
    <t xml:space="preserve">Maybe Finance</t>
  </si>
  <si>
    <t xml:space="preserve">Mostra la vista net worth con balance-sheet fatta benissimo… ma è ARCHIVIATO. Apertura concreta: l'idea è validata e il presidio è scoperto.</t>
  </si>
  <si>
    <t xml:space="preserve">Legenda punteggi (1–5)</t>
  </si>
  <si>
    <t xml:space="preserve">Profondità contabile</t>
  </si>
  <si>
    <t xml:space="preserve">1 flat · 2 envelope/categorie · 3 aggregazione net worth (asset/liability) · 4 double-entry · 5 double-entry + BS/IS/CF reali</t>
  </si>
  <si>
    <t xml:space="preserve">UX / Design</t>
  </si>
  <si>
    <t xml:space="preserve">1 datata/CLI · 3 funzionale · 5 best-in-class moderna</t>
  </si>
  <si>
    <t xml:space="preserve">Fonti: siti ufficiali e repo GitHub dei prodotti (Actual, Maybe, Firefly III, Ghostfolio, GnuCash, Beancount) · openalternative.co · stampa di settore (WSJ, Forbes) · Monarch.com · giugno 2026.</t>
  </si>
  <si>
    <t xml:space="preserve">Prodotto</t>
  </si>
  <si>
    <t xml:space="preserve">Categoria</t>
  </si>
  <si>
    <t xml:space="preserve">Distribuzione</t>
  </si>
  <si>
    <t xml:space="preserve">Open source</t>
  </si>
  <si>
    <t xml:space="preserve">Piattaforma</t>
  </si>
  <si>
    <t xml:space="preserve">Pricing (indicativo)</t>
  </si>
  <si>
    <t xml:space="preserve">Connettività bancaria</t>
  </si>
  <si>
    <t xml:space="preserve">Modello contabile</t>
  </si>
  <si>
    <t xml:space="preserve">Prof. contabile (1–5)</t>
  </si>
  <si>
    <t xml:space="preserve">UX/Design (1–5)</t>
  </si>
  <si>
    <t xml:space="preserve">Investimenti</t>
  </si>
  <si>
    <t xml:space="preserve">Net worth / Snapshot</t>
  </si>
  <si>
    <t xml:space="preserve">In Italia</t>
  </si>
  <si>
    <t xml:space="preserve">Quadrante</t>
  </si>
  <si>
    <t xml:space="preserve">Cosa rubare (idee)</t>
  </si>
  <si>
    <t xml:space="preserve">Rilevanza</t>
  </si>
  <si>
    <t xml:space="preserve">Monarch</t>
  </si>
  <si>
    <t xml:space="preserve">Budgeting moderno</t>
  </si>
  <si>
    <t xml:space="preserve">Cloud</t>
  </si>
  <si>
    <t xml:space="preserve">No</t>
  </si>
  <si>
    <t xml:space="preserve">Web · iOS · Android</t>
  </si>
  <si>
    <t xml:space="preserve">~$100/anno</t>
  </si>
  <si>
    <t xml:space="preserve">Sì (US/CA, aggregatori)</t>
  </si>
  <si>
    <t xml:space="preserve">Transazioni flat + aggregazione net worth</t>
  </si>
  <si>
    <t xml:space="preserve">Base</t>
  </si>
  <si>
    <t xml:space="preserve">Sì</t>
  </si>
  <si>
    <t xml:space="preserve">No (US/CA)</t>
  </si>
  <si>
    <t xml:space="preserve">Linguaggio visivo, dashboard cockpit, recurring detection, collaborazione coppia/advisor</t>
  </si>
  <si>
    <t xml:space="preserve">Alta</t>
  </si>
  <si>
    <t xml:space="preserve">Copilot Money</t>
  </si>
  <si>
    <t xml:space="preserve">macOS · iOS</t>
  </si>
  <si>
    <t xml:space="preserve">~$95/anno</t>
  </si>
  <si>
    <t xml:space="preserve">Sì (US)</t>
  </si>
  <si>
    <t xml:space="preserve">Transazioni flat + categorie AI</t>
  </si>
  <si>
    <t xml:space="preserve">No (US)</t>
  </si>
  <si>
    <t xml:space="preserve">Design premiato, categorizzazione AI, fluidità inserimento, dark mode</t>
  </si>
  <si>
    <t xml:space="preserve">YNAB</t>
  </si>
  <si>
    <t xml:space="preserve">~$109/anno</t>
  </si>
  <si>
    <t xml:space="preserve">Sì (US, alcune EU)</t>
  </si>
  <si>
    <t xml:space="preserve">Envelope / zero-based (no BS)</t>
  </si>
  <si>
    <t xml:space="preserve">Limitato</t>
  </si>
  <si>
    <t xml:space="preserve">Parziale</t>
  </si>
  <si>
    <t xml:space="preserve">Metodo envelope, UX obiettivi, onboarding ed educazione finanziaria</t>
  </si>
  <si>
    <t xml:space="preserve">Media</t>
  </si>
  <si>
    <t xml:space="preserve">Actual Budget ★</t>
  </si>
  <si>
    <t xml:space="preserve">Local-first / self-host</t>
  </si>
  <si>
    <t xml:space="preserve">Sì (MIT)</t>
  </si>
  <si>
    <t xml:space="preserve">Desktop Win/Mac/Linux · mobile · web</t>
  </si>
  <si>
    <t xml:space="preserve">Gratis</t>
  </si>
  <si>
    <t xml:space="preserve">Opz. EU (goCardless) / US (SimpleFIN)</t>
  </si>
  <si>
    <t xml:space="preserve">Envelope; transfer collegano i due lati (quasi double-entry)</t>
  </si>
  <si>
    <t xml:space="preserve">Sì (report)</t>
  </si>
  <si>
    <t xml:space="preserve">Sì (self-host, EU)</t>
  </si>
  <si>
    <t xml:space="preserve">★ 1 profilo = 1 file SQLite portabile (= tuo modello); import OFX/QIF/CAMT/CSV; rules engine; undo/redo; API locale; keyboard-first; dark mode</t>
  </si>
  <si>
    <t xml:space="preserve">Altissima</t>
  </si>
  <si>
    <t xml:space="preserve">Maybe Finance ★</t>
  </si>
  <si>
    <t xml:space="preserve">Net worth &amp; wealth</t>
  </si>
  <si>
    <t xml:space="preserve">Self-host (Rails/Postgres)</t>
  </si>
  <si>
    <t xml:space="preserve">Sì (AGPLv3, ARCHIVIATO)</t>
  </si>
  <si>
    <t xml:space="preserve">Web</t>
  </si>
  <si>
    <t xml:space="preserve">Sì (US, Plaid)</t>
  </si>
  <si>
    <t xml:space="preserve">Event-sourced entries → balance sheet asset/liability (no IS/CF, no double-entry puro)</t>
  </si>
  <si>
    <t xml:space="preserve">Avanzato</t>
  </si>
  <si>
    <t xml:space="preserve">Sì (storico)</t>
  </si>
  <si>
    <t xml:space="preserve">Sì (self-host)</t>
  </si>
  <si>
    <t xml:space="preserve">★ Vista net worth con breakdown asset/liability; astrazione Entry (tx/valutazione/trade unificati); household; multi-currency; minimalismo 'cosa togliere'. ARCHIVIATO = spazio libero</t>
  </si>
  <si>
    <t xml:space="preserve">Empower (ex Personal Capital)</t>
  </si>
  <si>
    <t xml:space="preserve">Web · mobile</t>
  </si>
  <si>
    <t xml:space="preserve">Aggregazione net worth asset/liability</t>
  </si>
  <si>
    <t xml:space="preserve">Dashboard net worth, fee analyzer, proiezioni patrimoniali</t>
  </si>
  <si>
    <t xml:space="preserve">Ghostfolio</t>
  </si>
  <si>
    <t xml:space="preserve">Investment tracker</t>
  </si>
  <si>
    <t xml:space="preserve">Self-host / Cloud</t>
  </si>
  <si>
    <t xml:space="preserve">Sì (AGPL)</t>
  </si>
  <si>
    <t xml:space="preserve">Gratis / cloud €</t>
  </si>
  <si>
    <t xml:space="preserve">No (manuale + API prezzi)</t>
  </si>
  <si>
    <t xml:space="preserve">Portafoglio investimenti (non PFM completo)</t>
  </si>
  <si>
    <t xml:space="preserve">Sì (portafoglio)</t>
  </si>
  <si>
    <t xml:space="preserve">Performance/allocazione/dividendi, tracking investimenti manuale-first, fetch prezzi</t>
  </si>
  <si>
    <t xml:space="preserve">Wealthfolio</t>
  </si>
  <si>
    <t xml:space="preserve">Desktop locale (Tauri)</t>
  </si>
  <si>
    <t xml:space="preserve">Win/Mac/Linux</t>
  </si>
  <si>
    <t xml:space="preserve">No (manuale/import)</t>
  </si>
  <si>
    <t xml:space="preserve">Portafoglio investimenti desktop privacy-first</t>
  </si>
  <si>
    <t xml:space="preserve">Investment tracking desktop locale e privacy-first (= tuo form factor), UX desktop pulita</t>
  </si>
  <si>
    <t xml:space="preserve">GnuCash</t>
  </si>
  <si>
    <t xml:space="preserve">Accounting / double-entry</t>
  </si>
  <si>
    <t xml:space="preserve">Desktop locale</t>
  </si>
  <si>
    <t xml:space="preserve">Sì (GPL)</t>
  </si>
  <si>
    <t xml:space="preserve">Limitata (OFX)</t>
  </si>
  <si>
    <t xml:space="preserve">Double-entry completo · BS/IS reali · riconciliazione</t>
  </si>
  <si>
    <t xml:space="preserve">Base/Medio</t>
  </si>
  <si>
    <t xml:space="preserve">Schema double-entry vero, riconciliazione conti, transazioni schedulate, report BS/IS: l'architettura da emulare ma con UX moderna</t>
  </si>
  <si>
    <t xml:space="preserve">Beancount + Fava</t>
  </si>
  <si>
    <t xml:space="preserve">File locali + web UI (Fava)</t>
  </si>
  <si>
    <t xml:space="preserve">Cross-platform</t>
  </si>
  <si>
    <t xml:space="preserve">No (importers)</t>
  </si>
  <si>
    <t xml:space="preserve">Plain-text double-entry puro · statement completi</t>
  </si>
  <si>
    <t xml:space="preserve">Medio</t>
  </si>
  <si>
    <t xml:space="preserve">Ledger plain-text → versionabile e diffabile (= la tua idea Snapshot/versioning); disciplina double-entry; report Fava</t>
  </si>
  <si>
    <t xml:space="preserve">Firefly III</t>
  </si>
  <si>
    <t xml:space="preserve">Self-host (PHP/Laravel)</t>
  </si>
  <si>
    <t xml:space="preserve">EU via importers/Nordigen</t>
  </si>
  <si>
    <t xml:space="preserve">Conti tipizzati asset/liability/expense/revenue (double-entry-style)</t>
  </si>
  <si>
    <t xml:space="preserve">Modello tipi-conto (asset/liability/expense/revenue), rules engine, REST API, ricorrenze, multi-currency</t>
  </si>
  <si>
    <t xml:space="preserve">KMyMoney</t>
  </si>
  <si>
    <t xml:space="preserve">Desktop locale (KDE)</t>
  </si>
  <si>
    <t xml:space="preserve">OFX</t>
  </si>
  <si>
    <t xml:space="preserve">Double-entry + ledger investimenti</t>
  </si>
  <si>
    <t xml:space="preserve">Double-entry con modulo investimenti su desktop</t>
  </si>
  <si>
    <t xml:space="preserve">Banktivity</t>
  </si>
  <si>
    <t xml:space="preserve">Desktop</t>
  </si>
  <si>
    <t xml:space="preserve">~$60/anno</t>
  </si>
  <si>
    <t xml:space="preserve">Double-entry-style + investimenti + net worth + budget</t>
  </si>
  <si>
    <t xml:space="preserve">L'analogo più vicino: desktop curato + contabilità + investimenti. MA solo Mac, proprietario, US-leaning, no IS/CF reali, no file portabile</t>
  </si>
  <si>
    <t xml:space="preserve">Money Manager Ex</t>
  </si>
  <si>
    <t xml:space="preserve">Desktop / consumer EU</t>
  </si>
  <si>
    <t xml:space="preserve">Cross + mobile</t>
  </si>
  <si>
    <t xml:space="preserve">Import</t>
  </si>
  <si>
    <t xml:space="preserve">Conti + categorie (double-entry-ish leggero)</t>
  </si>
  <si>
    <t xml:space="preserve">Desktop leggero su SQLite, semplicità, ricorrenze</t>
  </si>
  <si>
    <t xml:space="preserve">HomeBank</t>
  </si>
  <si>
    <t xml:space="preserve">OFX/QIF</t>
  </si>
  <si>
    <t xml:space="preserve">Transazioni + categorie</t>
  </si>
  <si>
    <t xml:space="preserve">Inserimento manuale veloce, transazioni schedulate, report rapidi</t>
  </si>
  <si>
    <t xml:space="preserve">Bassa</t>
  </si>
  <si>
    <t xml:space="preserve">Quicken Simplifi</t>
  </si>
  <si>
    <t xml:space="preserve">~$48/anno</t>
  </si>
  <si>
    <t xml:space="preserve">Spending plan + flat tx</t>
  </si>
  <si>
    <t xml:space="preserve">Spending plan UX, cash flow proiettato</t>
  </si>
  <si>
    <t xml:space="preserve">Tiller</t>
  </si>
  <si>
    <t xml:space="preserve">Foglio (Sheets/Excel)</t>
  </si>
  <si>
    <t xml:space="preserve">No (template)</t>
  </si>
  <si>
    <t xml:space="preserve">Google Sheets · Excel</t>
  </si>
  <si>
    <t xml:space="preserve">~$79/anno</t>
  </si>
  <si>
    <t xml:space="preserve">Sì (US/CA feed)</t>
  </si>
  <si>
    <t xml:space="preserve">Spreadsheet (costruisci ciò che vuoi)</t>
  </si>
  <si>
    <t xml:space="preserve">Manuale</t>
  </si>
  <si>
    <t xml:space="preserve">Sì (lo costruisci)</t>
  </si>
  <si>
    <t xml:space="preserve">No (feed US)</t>
  </si>
  <si>
    <t xml:space="preserve">Flessibilità foglio di calcolo, template, etica 'power user' estensibile</t>
  </si>
  <si>
    <t xml:space="preserve">Wallet (BudgetBakers)</t>
  </si>
  <si>
    <t xml:space="preserve">Cloud + open banking EU</t>
  </si>
  <si>
    <t xml:space="preserve">mobile · web</t>
  </si>
  <si>
    <t xml:space="preserve">~€5–9/mese</t>
  </si>
  <si>
    <t xml:space="preserve">Sì (open banking EU)</t>
  </si>
  <si>
    <t xml:space="preserve">Transazioni flat multi-conto</t>
  </si>
  <si>
    <t xml:space="preserve">Open banking EU, gestione multi-conto, UX mobile pulita</t>
  </si>
  <si>
    <t xml:space="preserve">Toshl Finance</t>
  </si>
  <si>
    <t xml:space="preserve">~€2–4/mese</t>
  </si>
  <si>
    <t xml:space="preserve">Sì (EU)</t>
  </si>
  <si>
    <t xml:space="preserve">Budget + categorie</t>
  </si>
  <si>
    <t xml:space="preserve">UX budgeting giocosa, multi-currency</t>
  </si>
  <si>
    <t xml:space="preserve">◎ NOSTRO PRODOTTO</t>
  </si>
  <si>
    <t xml:space="preserve">Local-first · 1 file per profilo</t>
  </si>
  <si>
    <t xml:space="preserve">Sì (su GitHub)</t>
  </si>
  <si>
    <t xml:space="preserve">Desktop (Flask + PyWebView)</t>
  </si>
  <si>
    <t xml:space="preserve">Gratis / open-source</t>
  </si>
  <si>
    <t xml:space="preserve">No (manuale + import Excel/OFX)</t>
  </si>
  <si>
    <t xml:space="preserve">Double-entry (lite) → BS/IS/Cash Flow come proiezioni del ledger + Snapshot versionati</t>
  </si>
  <si>
    <t xml:space="preserve">Da inserimento manuale</t>
  </si>
  <si>
    <t xml:space="preserve">Sì + Snapshot diffabili</t>
  </si>
  <si>
    <t xml:space="preserve">Sì (IT-first)</t>
  </si>
  <si>
    <t xml:space="preserve">Target: profondità contabile vera (cluster rosso) CON UX moderna (cluster blu/azzurro), in locale, single-file, open-source</t>
  </si>
  <si>
    <t xml:space="preserve">Target</t>
  </si>
  <si>
    <t xml:space="preserve">Idea / Feature</t>
  </si>
  <si>
    <t xml:space="preserve">Chi lo fa meglio</t>
  </si>
  <si>
    <t xml:space="preserve">Cosa implementare da noi</t>
  </si>
  <si>
    <t xml:space="preserve">Quando</t>
  </si>
  <si>
    <t xml:space="preserve">1 profilo = 1 file portabile</t>
  </si>
  <si>
    <t xml:space="preserve">Backend SQLite, un .db per profilo; export/import in 1 click (= tua nota 'esporta profilo in locale')</t>
  </si>
  <si>
    <t xml:space="preserve">MVP</t>
  </si>
  <si>
    <t xml:space="preserve">Import standard bancari</t>
  </si>
  <si>
    <t xml:space="preserve">Actual · Firefly III</t>
  </si>
  <si>
    <t xml:space="preserve">OFX/QIF/QFX/CAMT.053 oltre a CSV/Excel; mapping colonne salvabile</t>
  </si>
  <si>
    <t xml:space="preserve">Rules engine categorizzazione</t>
  </si>
  <si>
    <t xml:space="preserve">Regole auto su payee/importo per categorizzare e rinominare in import</t>
  </si>
  <si>
    <t xml:space="preserve">Schema double-entry vero</t>
  </si>
  <si>
    <t xml:space="preserve">GnuCash · Beancount · Firefly III</t>
  </si>
  <si>
    <t xml:space="preserve">Ogni transazione tocca ≥2 conti; BS/IS/CF come proiezioni (il tuo core)</t>
  </si>
  <si>
    <t xml:space="preserve">Modello tipi-conto</t>
  </si>
  <si>
    <t xml:space="preserve">Conti tipizzati asset/liability/equity/income/expense come fondamenta del chart of accounts</t>
  </si>
  <si>
    <t xml:space="preserve">Ledger versionabile / diff</t>
  </si>
  <si>
    <t xml:space="preserve">Beancount</t>
  </si>
  <si>
    <t xml:space="preserve">Snapshot confrontabili nel tempo ('net worth al 1/1 vs 31/12, cosa è cambiato')</t>
  </si>
  <si>
    <t xml:space="preserve">v1</t>
  </si>
  <si>
    <t xml:space="preserve">Net worth con balance-sheet</t>
  </si>
  <si>
    <t xml:space="preserve">Maybe · Empower</t>
  </si>
  <si>
    <t xml:space="preserve">Dashboard net worth con breakdown asset/liability + trend storico</t>
  </si>
  <si>
    <t xml:space="preserve">Inserimento veloce keyboard-first</t>
  </si>
  <si>
    <t xml:space="preserve">Actual · Copilot</t>
  </si>
  <si>
    <t xml:space="preserve">Form transazioni rapidissimo, scorciatoie, undo/redo robusto</t>
  </si>
  <si>
    <t xml:space="preserve">Dark mode / theming</t>
  </si>
  <si>
    <t xml:space="preserve">Sfruttare il sistema di CSS variables (sforzo quasi nullo)</t>
  </si>
  <si>
    <t xml:space="preserve">Riconciliazione conti</t>
  </si>
  <si>
    <t xml:space="preserve">GnuCash · Actual</t>
  </si>
  <si>
    <t xml:space="preserve">Spunta movimenti vs saldo reale per garantire che il BS quadri</t>
  </si>
  <si>
    <t xml:space="preserve">Multi-currency</t>
  </si>
  <si>
    <t xml:space="preserve">Maybe · Firefly III</t>
  </si>
  <si>
    <t xml:space="preserve">Conti in valute diverse + conversione (tua domanda aperta sugli investimenti FX)</t>
  </si>
  <si>
    <t xml:space="preserve">Modulo investimenti</t>
  </si>
  <si>
    <t xml:space="preserve">Ghostfolio · Wealthfolio</t>
  </si>
  <si>
    <t xml:space="preserve">Holdings, performance, allocazione, dividendi; fetch prezzi (yfinance)</t>
  </si>
  <si>
    <t xml:space="preserve">Obiettivi (quantitativi)</t>
  </si>
  <si>
    <t xml:space="preserve">YNAB · Maybe</t>
  </si>
  <si>
    <t xml:space="preserve">Goal con target e progresso; collegabili al cash flow</t>
  </si>
  <si>
    <t xml:space="preserve">Sankey del cash flow</t>
  </si>
  <si>
    <t xml:space="preserve">(vari moderni)</t>
  </si>
  <si>
    <t xml:space="preserve">Diagramma flussi entrate→uscite immediatamente leggibile</t>
  </si>
  <si>
    <t xml:space="preserve">v2</t>
  </si>
  <si>
    <t xml:space="preserve">Cash flow proiettato / forecast</t>
  </si>
  <si>
    <t xml:space="preserve">Quicken Simplifi · Empower</t>
  </si>
  <si>
    <t xml:space="preserve">Proiezione net worth 'al tuo tasso di risparmio, tra 5/10/20 anni'</t>
  </si>
  <si>
    <t xml:space="preserve">API locale per estendibilità</t>
  </si>
  <si>
    <t xml:space="preserve">API sui dati locali per import custom e report → buona storia da portfolio</t>
  </si>
  <si>
    <t xml:space="preserve">AI chat sui propri dati</t>
  </si>
  <si>
    <t xml:space="preserve">Maybe · Copilot</t>
  </si>
  <si>
    <t xml:space="preserve">Opzionale, con API key dell'utente; query in linguaggio naturale</t>
  </si>
  <si>
    <t xml:space="preserve">Collaborazione / household</t>
  </si>
  <si>
    <t xml:space="preserve">Monarch · Maybe</t>
  </si>
  <si>
    <t xml:space="preserve">Caso household (profili che condividono un conto) — DA DECIDERE prima dello schema</t>
  </si>
  <si>
    <t xml:space="preserve">da decidere</t>
  </si>
  <si>
    <t xml:space="preserve">Posizionamento — i 4 quadranti (UX × profondità contabile)</t>
  </si>
  <si>
    <t xml:space="preserve">Prodotti tipici</t>
  </si>
  <si>
    <t xml:space="preserve">Lettura</t>
  </si>
  <si>
    <t xml:space="preserve">Contabilità profonda · UX datata</t>
  </si>
  <si>
    <t xml:space="preserve">GnuCash, Beancount/Fava, Firefly III, KMyMoney</t>
  </si>
  <si>
    <t xml:space="preserve">Fanno il double-entry vero ma respingono l'utente normale. Da loro si ruba l'architettura.</t>
  </si>
  <si>
    <t xml:space="preserve">UX alta · contabilità debole</t>
  </si>
  <si>
    <t xml:space="preserve">Monarch, Copilot, YNAB, Actual, Maybe, Empower, Ghostfolio</t>
  </si>
  <si>
    <t xml:space="preserve">Bellissimi e moderni ma transazioni flat/envelope: net worth = aggregazione, non ledger. Da loro si ruba UX e idee.</t>
  </si>
  <si>
    <t xml:space="preserve">Base / nicchia</t>
  </si>
  <si>
    <t xml:space="preserve">HomeBank, Money Manager Ex, Tiller, Toshl, Wallet</t>
  </si>
  <si>
    <t xml:space="preserve">Strumenti leggeri o di nicchia; poco da imparare oltre a singole feature.</t>
  </si>
  <si>
    <t xml:space="preserve">★ Target — UX alta + contabilità profonda</t>
  </si>
  <si>
    <t xml:space="preserve">Quasi vuoto. Solo Banktivity (Mac, proprietario, US, no IS/CF, no file portabile)</t>
  </si>
  <si>
    <t xml:space="preserve">Lo spazio dove ci posizioniamo: double-entry reale + UX moderna + locale single-file + open-source IT-first.</t>
  </si>
  <si>
    <t xml:space="preserve">◎ Posizionamento ottimale identificato</t>
  </si>
  <si>
    <t xml:space="preserve">Ledger double-entry (lite) come fondamenta → Balance Sheet, Income Statement e Cash Flow reali come proiezioni, più Snapshot versionati confrontabili nel tempo. Con UX in stile Monarch, in locale (1 file per profilo, stile Actual), open-source su GitHub e IT-first. Banktivity è il solo vicino, ma chiuso, solo Mac e senza statement reali → presidio scoperto.</t>
  </si>
</sst>
</file>

<file path=xl/styles.xml><?xml version="1.0" encoding="utf-8"?>
<styleSheet xmlns="http://schemas.openxmlformats.org/spreadsheetml/2006/main">
  <numFmts count="1">
    <numFmt numFmtId="164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2E"/>
      <name val="Arial"/>
      <family val="0"/>
      <charset val="1"/>
    </font>
    <font>
      <sz val="11"/>
      <color rgb="FF6B7280"/>
      <name val="Arial"/>
      <family val="0"/>
      <charset val="1"/>
    </font>
    <font>
      <b val="true"/>
      <sz val="12"/>
      <color rgb="FF6366F1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2"/>
      <color rgb="FFEF4444"/>
      <name val="Arial"/>
      <family val="0"/>
      <charset val="1"/>
    </font>
    <font>
      <b val="true"/>
      <sz val="10"/>
      <color rgb="FFEF4444"/>
      <name val="Arial"/>
      <family val="0"/>
      <charset val="1"/>
    </font>
    <font>
      <b val="true"/>
      <sz val="10"/>
      <color rgb="FF0EA5E9"/>
      <name val="Arial"/>
      <family val="0"/>
      <charset val="1"/>
    </font>
    <font>
      <b val="true"/>
      <sz val="10"/>
      <color rgb="FF10B981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1"/>
      <color rgb="FF6B728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6366F1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1A1A2E"/>
      <name val="Arial"/>
      <family val="0"/>
      <charset val="1"/>
    </font>
    <font>
      <b val="true"/>
      <sz val="9"/>
      <color rgb="FF0EA5E9"/>
      <name val="Arial"/>
      <family val="0"/>
      <charset val="1"/>
    </font>
    <font>
      <b val="true"/>
      <sz val="9"/>
      <color rgb="FFF59E0B"/>
      <name val="Arial"/>
      <family val="0"/>
      <charset val="1"/>
    </font>
    <font>
      <b val="true"/>
      <sz val="9"/>
      <color rgb="FFEF4444"/>
      <name val="Arial"/>
      <family val="0"/>
      <charset val="1"/>
    </font>
    <font>
      <b val="true"/>
      <sz val="9"/>
      <color rgb="FF10B98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4"/>
      <color rgb="FF1A1A2E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b val="true"/>
      <sz val="12"/>
      <color rgb="FF10B98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2937"/>
        <bgColor rgb="FF1A1A2E"/>
      </patternFill>
    </fill>
    <fill>
      <patternFill patternType="solid">
        <fgColor rgb="FFEEF0FF"/>
        <bgColor rgb="FFF3F4F6"/>
      </patternFill>
    </fill>
    <fill>
      <patternFill patternType="solid">
        <fgColor rgb="FFFDEAD7"/>
        <bgColor rgb="FFFDECEC"/>
      </patternFill>
    </fill>
    <fill>
      <patternFill patternType="solid">
        <fgColor rgb="FFBBE9CD"/>
        <bgColor rgb="FFDCF4E4"/>
      </patternFill>
    </fill>
    <fill>
      <patternFill patternType="solid">
        <fgColor rgb="FFDCF4E4"/>
        <bgColor rgb="FFE9F9F1"/>
      </patternFill>
    </fill>
    <fill>
      <patternFill patternType="solid">
        <fgColor rgb="FFFEF3C7"/>
        <bgColor rgb="FFFDEAD7"/>
      </patternFill>
    </fill>
    <fill>
      <patternFill patternType="solid">
        <fgColor rgb="FFE6F6FE"/>
        <bgColor rgb="FFE9F9F1"/>
      </patternFill>
    </fill>
    <fill>
      <patternFill patternType="solid">
        <fgColor rgb="FFFEF4E6"/>
        <bgColor rgb="FFFDECEC"/>
      </patternFill>
    </fill>
    <fill>
      <patternFill patternType="solid">
        <fgColor rgb="FFFDECEC"/>
        <bgColor rgb="FFFEF4E6"/>
      </patternFill>
    </fill>
    <fill>
      <patternFill patternType="solid">
        <fgColor rgb="FFE9F9F1"/>
        <bgColor rgb="FFE6F6FE"/>
      </patternFill>
    </fill>
    <fill>
      <patternFill patternType="solid">
        <fgColor rgb="FFF3F4F6"/>
        <bgColor rgb="FFEEF0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11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1F2937"/>
          <bgColor rgb="FF000000"/>
        </patternFill>
      </fill>
    </dxf>
    <dxf>
      <fill>
        <patternFill patternType="solid">
          <fgColor rgb="FFE6F6FE"/>
          <bgColor rgb="FF000000"/>
        </patternFill>
      </fill>
    </dxf>
    <dxf>
      <fill>
        <patternFill patternType="solid">
          <fgColor rgb="FFE9F9F1"/>
          <bgColor rgb="FF000000"/>
        </patternFill>
      </fill>
    </dxf>
    <dxf>
      <fill>
        <patternFill patternType="solid">
          <fgColor rgb="FFEEF0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0B981"/>
          <bgColor rgb="FF000000"/>
        </patternFill>
      </fill>
    </dxf>
    <dxf>
      <fill>
        <patternFill patternType="solid">
          <fgColor rgb="FF1A1A2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DECEC"/>
          <bgColor rgb="FF000000"/>
        </patternFill>
      </fill>
    </dxf>
    <dxf>
      <fill>
        <patternFill patternType="solid">
          <fgColor rgb="FFFEF4E6"/>
          <bgColor rgb="FF000000"/>
        </patternFill>
      </fill>
    </dxf>
    <dxf>
      <fill>
        <patternFill patternType="solid">
          <fgColor rgb="FF0EA5E9"/>
          <bgColor rgb="FF000000"/>
        </patternFill>
      </fill>
    </dxf>
    <dxf>
      <fill>
        <patternFill patternType="solid">
          <fgColor rgb="FF6366F1"/>
          <bgColor rgb="FF000000"/>
        </patternFill>
      </fill>
    </dxf>
    <dxf>
      <fill>
        <patternFill patternType="solid">
          <fgColor rgb="FFEF4444"/>
          <bgColor rgb="FF000000"/>
        </patternFill>
      </fill>
    </dxf>
    <dxf>
      <fill>
        <patternFill patternType="solid">
          <fgColor rgb="FFF59E0B"/>
          <bgColor rgb="FF000000"/>
        </patternFill>
      </fill>
    </dxf>
    <dxf>
      <fill>
        <patternFill patternType="solid">
          <fgColor rgb="FFBBE9CD"/>
          <bgColor rgb="FF000000"/>
        </patternFill>
      </fill>
    </dxf>
    <dxf>
      <fill>
        <patternFill patternType="solid">
          <fgColor rgb="FFDCF4E4"/>
          <bgColor rgb="FF000000"/>
        </patternFill>
      </fill>
    </dxf>
    <dxf>
      <fill>
        <patternFill patternType="solid">
          <fgColor rgb="FFFDEAD7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3F4F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E9CD"/>
      <rgbColor rgb="FF808080"/>
      <rgbColor rgb="FF9999FF"/>
      <rgbColor rgb="FF993366"/>
      <rgbColor rgb="FFFEF3C7"/>
      <rgbColor rgb="FFE6F6FE"/>
      <rgbColor rgb="FF660066"/>
      <rgbColor rgb="FFFF8080"/>
      <rgbColor rgb="FF0066CC"/>
      <rgbColor rgb="FFE5E7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EA5E9"/>
      <rgbColor rgb="FFE9F9F1"/>
      <rgbColor rgb="FFDCF4E4"/>
      <rgbColor rgb="FFFDEAD7"/>
      <rgbColor rgb="FFEEF0FF"/>
      <rgbColor rgb="FFFEF4E6"/>
      <rgbColor rgb="FFF3F4F6"/>
      <rgbColor rgb="FFFDECEC"/>
      <rgbColor rgb="FF6366F1"/>
      <rgbColor rgb="FF33CCCC"/>
      <rgbColor rgb="FF99CC00"/>
      <rgbColor rgb="FFFFCC00"/>
      <rgbColor rgb="FFF59E0B"/>
      <rgbColor rgb="FFEF4444"/>
      <rgbColor rgb="FF6B7280"/>
      <rgbColor rgb="FF969696"/>
      <rgbColor rgb="FF003366"/>
      <rgbColor rgb="FF10B981"/>
      <rgbColor rgb="FF003300"/>
      <rgbColor rgb="FF1A1A2E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18"/>
    <col collapsed="false" customWidth="true" hidden="false" outlineLevel="0" max="7" min="7" style="0" width="3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true" outlineLevel="0" collapsed="false">
      <c r="B6" s="4" t="s">
        <v>3</v>
      </c>
      <c r="C6" s="4"/>
      <c r="D6" s="4"/>
      <c r="E6" s="4"/>
      <c r="F6" s="4"/>
    </row>
    <row r="7" customFormat="false" ht="15" hidden="false" customHeight="false" outlineLevel="0" collapsed="false">
      <c r="B7" s="4"/>
      <c r="C7" s="4"/>
      <c r="D7" s="4"/>
      <c r="E7" s="4"/>
      <c r="F7" s="4"/>
    </row>
    <row r="8" customFormat="false" ht="15" hidden="false" customHeight="false" outlineLevel="0" collapsed="false">
      <c r="B8" s="4"/>
      <c r="C8" s="4"/>
      <c r="D8" s="4"/>
      <c r="E8" s="4"/>
      <c r="F8" s="4"/>
    </row>
    <row r="10" customFormat="false" ht="15" hidden="false" customHeight="false" outlineLevel="0" collapsed="false">
      <c r="B10" s="5" t="s">
        <v>4</v>
      </c>
    </row>
    <row r="11" customFormat="false" ht="15" hidden="false" customHeight="true" outlineLevel="0" collapsed="false">
      <c r="B11" s="6" t="s">
        <v>5</v>
      </c>
      <c r="D11" s="4" t="s">
        <v>6</v>
      </c>
      <c r="E11" s="4"/>
      <c r="F11" s="4"/>
    </row>
    <row r="12" customFormat="false" ht="15" hidden="false" customHeight="false" outlineLevel="0" collapsed="false">
      <c r="D12" s="4"/>
      <c r="E12" s="4"/>
      <c r="F12" s="4"/>
    </row>
    <row r="13" customFormat="false" ht="15" hidden="false" customHeight="true" outlineLevel="0" collapsed="false">
      <c r="B13" s="7" t="s">
        <v>7</v>
      </c>
      <c r="D13" s="4" t="s">
        <v>8</v>
      </c>
      <c r="E13" s="4"/>
      <c r="F13" s="4"/>
    </row>
    <row r="14" customFormat="false" ht="15" hidden="false" customHeight="false" outlineLevel="0" collapsed="false">
      <c r="D14" s="4"/>
      <c r="E14" s="4"/>
      <c r="F14" s="4"/>
    </row>
    <row r="15" customFormat="false" ht="15" hidden="false" customHeight="true" outlineLevel="0" collapsed="false">
      <c r="B15" s="8" t="s">
        <v>9</v>
      </c>
      <c r="D15" s="4" t="s">
        <v>10</v>
      </c>
      <c r="E15" s="4"/>
      <c r="F15" s="4"/>
    </row>
    <row r="16" customFormat="false" ht="15" hidden="false" customHeight="false" outlineLevel="0" collapsed="false">
      <c r="D16" s="4"/>
      <c r="E16" s="4"/>
      <c r="F16" s="4"/>
    </row>
    <row r="17" customFormat="false" ht="15" hidden="false" customHeight="false" outlineLevel="0" collapsed="false">
      <c r="D17" s="4"/>
      <c r="E17" s="4"/>
      <c r="F17" s="4"/>
    </row>
    <row r="19" customFormat="false" ht="15" hidden="false" customHeight="false" outlineLevel="0" collapsed="false">
      <c r="B19" s="3" t="s">
        <v>11</v>
      </c>
    </row>
    <row r="20" customFormat="false" ht="15" hidden="false" customHeight="true" outlineLevel="0" collapsed="false">
      <c r="B20" s="9" t="s">
        <v>12</v>
      </c>
      <c r="D20" s="4" t="s">
        <v>13</v>
      </c>
      <c r="E20" s="4"/>
      <c r="F20" s="4"/>
    </row>
    <row r="21" customFormat="false" ht="15" hidden="false" customHeight="false" outlineLevel="0" collapsed="false">
      <c r="D21" s="4"/>
      <c r="E21" s="4"/>
      <c r="F21" s="4"/>
    </row>
    <row r="22" customFormat="false" ht="15" hidden="false" customHeight="true" outlineLevel="0" collapsed="false">
      <c r="B22" s="9" t="s">
        <v>14</v>
      </c>
      <c r="D22" s="4" t="s">
        <v>15</v>
      </c>
      <c r="E22" s="4"/>
      <c r="F22" s="4"/>
    </row>
    <row r="23" customFormat="false" ht="15" hidden="false" customHeight="false" outlineLevel="0" collapsed="false">
      <c r="D23" s="4"/>
      <c r="E23" s="4"/>
      <c r="F23" s="4"/>
    </row>
    <row r="25" customFormat="false" ht="15" hidden="false" customHeight="false" outlineLevel="0" collapsed="false">
      <c r="B25" s="10" t="s">
        <v>16</v>
      </c>
    </row>
    <row r="26" customFormat="false" ht="15" hidden="false" customHeight="true" outlineLevel="0" collapsed="false">
      <c r="B26" s="9" t="s">
        <v>17</v>
      </c>
      <c r="D26" s="4" t="s">
        <v>18</v>
      </c>
      <c r="E26" s="4"/>
      <c r="F26" s="4"/>
    </row>
    <row r="27" customFormat="false" ht="15" hidden="false" customHeight="false" outlineLevel="0" collapsed="false">
      <c r="D27" s="4"/>
      <c r="E27" s="4"/>
      <c r="F27" s="4"/>
    </row>
    <row r="28" customFormat="false" ht="15" hidden="false" customHeight="true" outlineLevel="0" collapsed="false">
      <c r="B28" s="9" t="s">
        <v>19</v>
      </c>
      <c r="D28" s="4" t="s">
        <v>20</v>
      </c>
      <c r="E28" s="4"/>
      <c r="F28" s="4"/>
    </row>
    <row r="30" customFormat="false" ht="15" hidden="false" customHeight="true" outlineLevel="0" collapsed="false">
      <c r="B30" s="11" t="s">
        <v>21</v>
      </c>
      <c r="C30" s="11"/>
      <c r="D30" s="11"/>
      <c r="E30" s="11"/>
      <c r="F30" s="11"/>
    </row>
    <row r="31" customFormat="false" ht="15" hidden="false" customHeight="false" outlineLevel="0" collapsed="false">
      <c r="B31" s="11"/>
      <c r="C31" s="11"/>
      <c r="D31" s="11"/>
      <c r="E31" s="11"/>
      <c r="F31" s="11"/>
    </row>
  </sheetData>
  <mergeCells count="9">
    <mergeCell ref="B6:F8"/>
    <mergeCell ref="D11:F12"/>
    <mergeCell ref="D13:F14"/>
    <mergeCell ref="D15:F17"/>
    <mergeCell ref="D20:F21"/>
    <mergeCell ref="D22:F23"/>
    <mergeCell ref="D26:F27"/>
    <mergeCell ref="D28:F28"/>
    <mergeCell ref="B30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30"/>
    <col collapsed="false" customWidth="true" hidden="false" outlineLevel="0" max="10" min="9" style="0" width="11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4" min="14" style="0" width="34"/>
    <col collapsed="false" customWidth="true" hidden="false" outlineLevel="0" max="15" min="15" style="0" width="46"/>
    <col collapsed="false" customWidth="true" hidden="false" outlineLevel="0" max="16" min="16" style="0" width="12"/>
  </cols>
  <sheetData>
    <row r="1" customFormat="false" ht="33.75" hidden="false" customHeight="true" outlineLevel="0" collapsed="false">
      <c r="A1" s="12" t="s">
        <v>22</v>
      </c>
      <c r="B1" s="12" t="s">
        <v>23</v>
      </c>
      <c r="C1" s="12" t="s">
        <v>24</v>
      </c>
      <c r="D1" s="12" t="s">
        <v>25</v>
      </c>
      <c r="E1" s="12" t="s">
        <v>26</v>
      </c>
      <c r="F1" s="12" t="s">
        <v>27</v>
      </c>
      <c r="G1" s="12" t="s">
        <v>28</v>
      </c>
      <c r="H1" s="12" t="s">
        <v>29</v>
      </c>
      <c r="I1" s="12" t="s">
        <v>30</v>
      </c>
      <c r="J1" s="12" t="s">
        <v>31</v>
      </c>
      <c r="K1" s="12" t="s">
        <v>32</v>
      </c>
      <c r="L1" s="12" t="s">
        <v>33</v>
      </c>
      <c r="M1" s="12" t="s">
        <v>34</v>
      </c>
      <c r="N1" s="12" t="s">
        <v>35</v>
      </c>
      <c r="O1" s="12" t="s">
        <v>36</v>
      </c>
      <c r="P1" s="12" t="s">
        <v>37</v>
      </c>
    </row>
    <row r="2" customFormat="false" ht="57.75" hidden="false" customHeight="true" outlineLevel="0" collapsed="false">
      <c r="A2" s="13" t="s">
        <v>38</v>
      </c>
      <c r="B2" s="14" t="s">
        <v>39</v>
      </c>
      <c r="C2" s="15" t="s">
        <v>40</v>
      </c>
      <c r="D2" s="15" t="s">
        <v>41</v>
      </c>
      <c r="E2" s="15" t="s">
        <v>42</v>
      </c>
      <c r="F2" s="16" t="s">
        <v>43</v>
      </c>
      <c r="G2" s="15" t="s">
        <v>44</v>
      </c>
      <c r="H2" s="15" t="s">
        <v>45</v>
      </c>
      <c r="I2" s="17" t="n">
        <v>2</v>
      </c>
      <c r="J2" s="18" t="n">
        <v>5</v>
      </c>
      <c r="K2" s="16" t="s">
        <v>46</v>
      </c>
      <c r="L2" s="15" t="s">
        <v>47</v>
      </c>
      <c r="M2" s="16" t="s">
        <v>48</v>
      </c>
      <c r="N2" s="19" t="str">
        <f aca="false">IF(I2&gt;=5,IF(J2&gt;=4,"★ Target",IF(J2=3,"Profonda · UX media","Profonda · UX datata")),IF(I2&gt;=4,IF(J2&gt;=4,"★ Target",IF(J2=3,"Profonda · UX media","Profonda · UX datata")),IF(J2&gt;=4,"UX alta · contab. debole","Base / nicchia")))</f>
        <v>UX alta · contab. debole</v>
      </c>
      <c r="O2" s="15" t="s">
        <v>49</v>
      </c>
      <c r="P2" s="20" t="s">
        <v>50</v>
      </c>
    </row>
    <row r="3" customFormat="false" ht="57.75" hidden="false" customHeight="true" outlineLevel="0" collapsed="false">
      <c r="A3" s="4" t="s">
        <v>51</v>
      </c>
      <c r="B3" s="14" t="s">
        <v>39</v>
      </c>
      <c r="C3" s="15" t="s">
        <v>40</v>
      </c>
      <c r="D3" s="15" t="s">
        <v>41</v>
      </c>
      <c r="E3" s="15" t="s">
        <v>52</v>
      </c>
      <c r="F3" s="16" t="s">
        <v>53</v>
      </c>
      <c r="G3" s="15" t="s">
        <v>54</v>
      </c>
      <c r="H3" s="15" t="s">
        <v>55</v>
      </c>
      <c r="I3" s="17" t="n">
        <v>2</v>
      </c>
      <c r="J3" s="18" t="n">
        <v>5</v>
      </c>
      <c r="K3" s="16" t="s">
        <v>46</v>
      </c>
      <c r="L3" s="15" t="s">
        <v>47</v>
      </c>
      <c r="M3" s="16" t="s">
        <v>56</v>
      </c>
      <c r="N3" s="19" t="str">
        <f aca="false">IF(I3&gt;=5,IF(J3&gt;=4,"★ Target",IF(J3=3,"Profonda · UX media","Profonda · UX datata")),IF(I3&gt;=4,IF(J3&gt;=4,"★ Target",IF(J3=3,"Profonda · UX media","Profonda · UX datata")),IF(J3&gt;=4,"UX alta · contab. debole","Base / nicchia")))</f>
        <v>UX alta · contab. debole</v>
      </c>
      <c r="O3" s="15" t="s">
        <v>57</v>
      </c>
      <c r="P3" s="20" t="s">
        <v>50</v>
      </c>
    </row>
    <row r="4" customFormat="false" ht="57.75" hidden="false" customHeight="true" outlineLevel="0" collapsed="false">
      <c r="A4" s="4" t="s">
        <v>58</v>
      </c>
      <c r="B4" s="14" t="s">
        <v>39</v>
      </c>
      <c r="C4" s="15" t="s">
        <v>40</v>
      </c>
      <c r="D4" s="15" t="s">
        <v>41</v>
      </c>
      <c r="E4" s="15" t="s">
        <v>42</v>
      </c>
      <c r="F4" s="16" t="s">
        <v>59</v>
      </c>
      <c r="G4" s="15" t="s">
        <v>60</v>
      </c>
      <c r="H4" s="15" t="s">
        <v>61</v>
      </c>
      <c r="I4" s="17" t="n">
        <v>2</v>
      </c>
      <c r="J4" s="21" t="n">
        <v>4</v>
      </c>
      <c r="K4" s="16" t="s">
        <v>41</v>
      </c>
      <c r="L4" s="15" t="s">
        <v>62</v>
      </c>
      <c r="M4" s="16" t="s">
        <v>63</v>
      </c>
      <c r="N4" s="19" t="str">
        <f aca="false">IF(I4&gt;=5,IF(J4&gt;=4,"★ Target",IF(J4=3,"Profonda · UX media","Profonda · UX datata")),IF(I4&gt;=4,IF(J4&gt;=4,"★ Target",IF(J4=3,"Profonda · UX media","Profonda · UX datata")),IF(J4&gt;=4,"UX alta · contab. debole","Base / nicchia")))</f>
        <v>UX alta · contab. debole</v>
      </c>
      <c r="O4" s="15" t="s">
        <v>64</v>
      </c>
      <c r="P4" s="22" t="s">
        <v>65</v>
      </c>
    </row>
    <row r="5" customFormat="false" ht="57.75" hidden="false" customHeight="true" outlineLevel="0" collapsed="false">
      <c r="A5" s="13" t="s">
        <v>66</v>
      </c>
      <c r="B5" s="14" t="s">
        <v>39</v>
      </c>
      <c r="C5" s="15" t="s">
        <v>67</v>
      </c>
      <c r="D5" s="15" t="s">
        <v>68</v>
      </c>
      <c r="E5" s="15" t="s">
        <v>69</v>
      </c>
      <c r="F5" s="16" t="s">
        <v>70</v>
      </c>
      <c r="G5" s="15" t="s">
        <v>71</v>
      </c>
      <c r="H5" s="15" t="s">
        <v>72</v>
      </c>
      <c r="I5" s="17" t="n">
        <v>2</v>
      </c>
      <c r="J5" s="21" t="n">
        <v>4</v>
      </c>
      <c r="K5" s="16" t="s">
        <v>46</v>
      </c>
      <c r="L5" s="15" t="s">
        <v>73</v>
      </c>
      <c r="M5" s="16" t="s">
        <v>74</v>
      </c>
      <c r="N5" s="19" t="str">
        <f aca="false">IF(I5&gt;=5,IF(J5&gt;=4,"★ Target",IF(J5=3,"Profonda · UX media","Profonda · UX datata")),IF(I5&gt;=4,IF(J5&gt;=4,"★ Target",IF(J5=3,"Profonda · UX media","Profonda · UX datata")),IF(J5&gt;=4,"UX alta · contab. debole","Base / nicchia")))</f>
        <v>UX alta · contab. debole</v>
      </c>
      <c r="O5" s="15" t="s">
        <v>75</v>
      </c>
      <c r="P5" s="20" t="s">
        <v>76</v>
      </c>
    </row>
    <row r="6" customFormat="false" ht="57.75" hidden="false" customHeight="true" outlineLevel="0" collapsed="false">
      <c r="A6" s="23" t="s">
        <v>77</v>
      </c>
      <c r="B6" s="24" t="s">
        <v>78</v>
      </c>
      <c r="C6" s="15" t="s">
        <v>79</v>
      </c>
      <c r="D6" s="15" t="s">
        <v>80</v>
      </c>
      <c r="E6" s="15" t="s">
        <v>81</v>
      </c>
      <c r="F6" s="16" t="s">
        <v>70</v>
      </c>
      <c r="G6" s="15" t="s">
        <v>82</v>
      </c>
      <c r="H6" s="15" t="s">
        <v>83</v>
      </c>
      <c r="I6" s="25" t="n">
        <v>3</v>
      </c>
      <c r="J6" s="18" t="n">
        <v>5</v>
      </c>
      <c r="K6" s="16" t="s">
        <v>84</v>
      </c>
      <c r="L6" s="15" t="s">
        <v>85</v>
      </c>
      <c r="M6" s="16" t="s">
        <v>86</v>
      </c>
      <c r="N6" s="19" t="str">
        <f aca="false">IF(I6&gt;=5,IF(J6&gt;=4,"★ Target",IF(J6=3,"Profonda · UX media","Profonda · UX datata")),IF(I6&gt;=4,IF(J6&gt;=4,"★ Target",IF(J6=3,"Profonda · UX media","Profonda · UX datata")),IF(J6&gt;=4,"UX alta · contab. debole","Base / nicchia")))</f>
        <v>UX alta · contab. debole</v>
      </c>
      <c r="O6" s="15" t="s">
        <v>87</v>
      </c>
      <c r="P6" s="20" t="s">
        <v>76</v>
      </c>
    </row>
    <row r="7" customFormat="false" ht="57.75" hidden="false" customHeight="true" outlineLevel="0" collapsed="false">
      <c r="A7" s="4" t="s">
        <v>88</v>
      </c>
      <c r="B7" s="24" t="s">
        <v>78</v>
      </c>
      <c r="C7" s="15" t="s">
        <v>40</v>
      </c>
      <c r="D7" s="15" t="s">
        <v>41</v>
      </c>
      <c r="E7" s="15" t="s">
        <v>89</v>
      </c>
      <c r="F7" s="16" t="s">
        <v>70</v>
      </c>
      <c r="G7" s="15" t="s">
        <v>54</v>
      </c>
      <c r="H7" s="15" t="s">
        <v>90</v>
      </c>
      <c r="I7" s="25" t="n">
        <v>3</v>
      </c>
      <c r="J7" s="21" t="n">
        <v>4</v>
      </c>
      <c r="K7" s="16" t="s">
        <v>84</v>
      </c>
      <c r="L7" s="15" t="s">
        <v>47</v>
      </c>
      <c r="M7" s="16" t="s">
        <v>56</v>
      </c>
      <c r="N7" s="19" t="str">
        <f aca="false">IF(I7&gt;=5,IF(J7&gt;=4,"★ Target",IF(J7=3,"Profonda · UX media","Profonda · UX datata")),IF(I7&gt;=4,IF(J7&gt;=4,"★ Target",IF(J7=3,"Profonda · UX media","Profonda · UX datata")),IF(J7&gt;=4,"UX alta · contab. debole","Base / nicchia")))</f>
        <v>UX alta · contab. debole</v>
      </c>
      <c r="O7" s="15" t="s">
        <v>91</v>
      </c>
      <c r="P7" s="22" t="s">
        <v>65</v>
      </c>
    </row>
    <row r="8" customFormat="false" ht="57.75" hidden="false" customHeight="true" outlineLevel="0" collapsed="false">
      <c r="A8" s="4" t="s">
        <v>92</v>
      </c>
      <c r="B8" s="26" t="s">
        <v>93</v>
      </c>
      <c r="C8" s="15" t="s">
        <v>94</v>
      </c>
      <c r="D8" s="15" t="s">
        <v>95</v>
      </c>
      <c r="E8" s="15" t="s">
        <v>81</v>
      </c>
      <c r="F8" s="16" t="s">
        <v>96</v>
      </c>
      <c r="G8" s="15" t="s">
        <v>97</v>
      </c>
      <c r="H8" s="15" t="s">
        <v>98</v>
      </c>
      <c r="I8" s="17" t="n">
        <v>2</v>
      </c>
      <c r="J8" s="21" t="n">
        <v>4</v>
      </c>
      <c r="K8" s="16" t="s">
        <v>84</v>
      </c>
      <c r="L8" s="15" t="s">
        <v>99</v>
      </c>
      <c r="M8" s="16" t="s">
        <v>47</v>
      </c>
      <c r="N8" s="19" t="str">
        <f aca="false">IF(I8&gt;=5,IF(J8&gt;=4,"★ Target",IF(J8=3,"Profonda · UX media","Profonda · UX datata")),IF(I8&gt;=4,IF(J8&gt;=4,"★ Target",IF(J8=3,"Profonda · UX media","Profonda · UX datata")),IF(J8&gt;=4,"UX alta · contab. debole","Base / nicchia")))</f>
        <v>UX alta · contab. debole</v>
      </c>
      <c r="O8" s="15" t="s">
        <v>100</v>
      </c>
      <c r="P8" s="20" t="s">
        <v>50</v>
      </c>
    </row>
    <row r="9" customFormat="false" ht="57.75" hidden="false" customHeight="true" outlineLevel="0" collapsed="false">
      <c r="A9" s="4" t="s">
        <v>101</v>
      </c>
      <c r="B9" s="26" t="s">
        <v>93</v>
      </c>
      <c r="C9" s="15" t="s">
        <v>102</v>
      </c>
      <c r="D9" s="15" t="s">
        <v>47</v>
      </c>
      <c r="E9" s="15" t="s">
        <v>103</v>
      </c>
      <c r="F9" s="16" t="s">
        <v>70</v>
      </c>
      <c r="G9" s="15" t="s">
        <v>104</v>
      </c>
      <c r="H9" s="15" t="s">
        <v>105</v>
      </c>
      <c r="I9" s="17" t="n">
        <v>2</v>
      </c>
      <c r="J9" s="21" t="n">
        <v>4</v>
      </c>
      <c r="K9" s="16" t="s">
        <v>84</v>
      </c>
      <c r="L9" s="15" t="s">
        <v>47</v>
      </c>
      <c r="M9" s="16" t="s">
        <v>47</v>
      </c>
      <c r="N9" s="19" t="str">
        <f aca="false">IF(I9&gt;=5,IF(J9&gt;=4,"★ Target",IF(J9=3,"Profonda · UX media","Profonda · UX datata")),IF(I9&gt;=4,IF(J9&gt;=4,"★ Target",IF(J9=3,"Profonda · UX media","Profonda · UX datata")),IF(J9&gt;=4,"UX alta · contab. debole","Base / nicchia")))</f>
        <v>UX alta · contab. debole</v>
      </c>
      <c r="O9" s="15" t="s">
        <v>106</v>
      </c>
      <c r="P9" s="20" t="s">
        <v>50</v>
      </c>
    </row>
    <row r="10" customFormat="false" ht="57.75" hidden="false" customHeight="true" outlineLevel="0" collapsed="false">
      <c r="A10" s="4" t="s">
        <v>107</v>
      </c>
      <c r="B10" s="27" t="s">
        <v>108</v>
      </c>
      <c r="C10" s="15" t="s">
        <v>109</v>
      </c>
      <c r="D10" s="15" t="s">
        <v>110</v>
      </c>
      <c r="E10" s="15" t="s">
        <v>103</v>
      </c>
      <c r="F10" s="16" t="s">
        <v>70</v>
      </c>
      <c r="G10" s="15" t="s">
        <v>111</v>
      </c>
      <c r="H10" s="15" t="s">
        <v>112</v>
      </c>
      <c r="I10" s="18" t="n">
        <v>5</v>
      </c>
      <c r="J10" s="17" t="n">
        <v>2</v>
      </c>
      <c r="K10" s="16" t="s">
        <v>113</v>
      </c>
      <c r="L10" s="15" t="s">
        <v>47</v>
      </c>
      <c r="M10" s="16" t="s">
        <v>47</v>
      </c>
      <c r="N10" s="19" t="str">
        <f aca="false">IF(I10&gt;=5,IF(J10&gt;=4,"★ Target",IF(J10=3,"Profonda · UX media","Profonda · UX datata")),IF(I10&gt;=4,IF(J10&gt;=4,"★ Target",IF(J10=3,"Profonda · UX media","Profonda · UX datata")),IF(J10&gt;=4,"UX alta · contab. debole","Base / nicchia")))</f>
        <v>Profonda · UX datata</v>
      </c>
      <c r="O10" s="15" t="s">
        <v>114</v>
      </c>
      <c r="P10" s="20" t="s">
        <v>50</v>
      </c>
    </row>
    <row r="11" customFormat="false" ht="57.75" hidden="false" customHeight="true" outlineLevel="0" collapsed="false">
      <c r="A11" s="4" t="s">
        <v>115</v>
      </c>
      <c r="B11" s="27" t="s">
        <v>108</v>
      </c>
      <c r="C11" s="15" t="s">
        <v>116</v>
      </c>
      <c r="D11" s="15" t="s">
        <v>47</v>
      </c>
      <c r="E11" s="15" t="s">
        <v>117</v>
      </c>
      <c r="F11" s="16" t="s">
        <v>70</v>
      </c>
      <c r="G11" s="15" t="s">
        <v>118</v>
      </c>
      <c r="H11" s="15" t="s">
        <v>119</v>
      </c>
      <c r="I11" s="18" t="n">
        <v>5</v>
      </c>
      <c r="J11" s="25" t="n">
        <v>3</v>
      </c>
      <c r="K11" s="16" t="s">
        <v>120</v>
      </c>
      <c r="L11" s="15" t="s">
        <v>47</v>
      </c>
      <c r="M11" s="16" t="s">
        <v>47</v>
      </c>
      <c r="N11" s="19" t="str">
        <f aca="false">IF(I11&gt;=5,IF(J11&gt;=4,"★ Target",IF(J11=3,"Profonda · UX media","Profonda · UX datata")),IF(I11&gt;=4,IF(J11&gt;=4,"★ Target",IF(J11=3,"Profonda · UX media","Profonda · UX datata")),IF(J11&gt;=4,"UX alta · contab. debole","Base / nicchia")))</f>
        <v>Profonda · UX media</v>
      </c>
      <c r="O11" s="15" t="s">
        <v>121</v>
      </c>
      <c r="P11" s="20" t="s">
        <v>50</v>
      </c>
    </row>
    <row r="12" customFormat="false" ht="57.75" hidden="false" customHeight="true" outlineLevel="0" collapsed="false">
      <c r="A12" s="4" t="s">
        <v>122</v>
      </c>
      <c r="B12" s="27" t="s">
        <v>108</v>
      </c>
      <c r="C12" s="15" t="s">
        <v>123</v>
      </c>
      <c r="D12" s="15" t="s">
        <v>95</v>
      </c>
      <c r="E12" s="15" t="s">
        <v>81</v>
      </c>
      <c r="F12" s="16" t="s">
        <v>70</v>
      </c>
      <c r="G12" s="15" t="s">
        <v>124</v>
      </c>
      <c r="H12" s="15" t="s">
        <v>125</v>
      </c>
      <c r="I12" s="21" t="n">
        <v>4</v>
      </c>
      <c r="J12" s="25" t="n">
        <v>3</v>
      </c>
      <c r="K12" s="16" t="s">
        <v>62</v>
      </c>
      <c r="L12" s="15" t="s">
        <v>47</v>
      </c>
      <c r="M12" s="16" t="s">
        <v>47</v>
      </c>
      <c r="N12" s="19" t="str">
        <f aca="false">IF(I12&gt;=5,IF(J12&gt;=4,"★ Target",IF(J12=3,"Profonda · UX media","Profonda · UX datata")),IF(I12&gt;=4,IF(J12&gt;=4,"★ Target",IF(J12=3,"Profonda · UX media","Profonda · UX datata")),IF(J12&gt;=4,"UX alta · contab. debole","Base / nicchia")))</f>
        <v>Profonda · UX media</v>
      </c>
      <c r="O12" s="15" t="s">
        <v>126</v>
      </c>
      <c r="P12" s="20" t="s">
        <v>50</v>
      </c>
    </row>
    <row r="13" customFormat="false" ht="57.75" hidden="false" customHeight="true" outlineLevel="0" collapsed="false">
      <c r="A13" s="4" t="s">
        <v>127</v>
      </c>
      <c r="B13" s="27" t="s">
        <v>108</v>
      </c>
      <c r="C13" s="15" t="s">
        <v>128</v>
      </c>
      <c r="D13" s="15" t="s">
        <v>47</v>
      </c>
      <c r="E13" s="15" t="s">
        <v>117</v>
      </c>
      <c r="F13" s="16" t="s">
        <v>70</v>
      </c>
      <c r="G13" s="15" t="s">
        <v>129</v>
      </c>
      <c r="H13" s="15" t="s">
        <v>130</v>
      </c>
      <c r="I13" s="21" t="n">
        <v>4</v>
      </c>
      <c r="J13" s="17" t="n">
        <v>2</v>
      </c>
      <c r="K13" s="16" t="s">
        <v>120</v>
      </c>
      <c r="L13" s="15" t="s">
        <v>47</v>
      </c>
      <c r="M13" s="16" t="s">
        <v>47</v>
      </c>
      <c r="N13" s="19" t="str">
        <f aca="false">IF(I13&gt;=5,IF(J13&gt;=4,"★ Target",IF(J13=3,"Profonda · UX media","Profonda · UX datata")),IF(I13&gt;=4,IF(J13&gt;=4,"★ Target",IF(J13=3,"Profonda · UX media","Profonda · UX datata")),IF(J13&gt;=4,"UX alta · contab. debole","Base / nicchia")))</f>
        <v>Profonda · UX datata</v>
      </c>
      <c r="O13" s="15" t="s">
        <v>131</v>
      </c>
      <c r="P13" s="22" t="s">
        <v>65</v>
      </c>
    </row>
    <row r="14" customFormat="false" ht="57.75" hidden="false" customHeight="true" outlineLevel="0" collapsed="false">
      <c r="A14" s="4" t="s">
        <v>132</v>
      </c>
      <c r="B14" s="27" t="s">
        <v>108</v>
      </c>
      <c r="C14" s="15" t="s">
        <v>133</v>
      </c>
      <c r="D14" s="15" t="s">
        <v>41</v>
      </c>
      <c r="E14" s="15" t="s">
        <v>52</v>
      </c>
      <c r="F14" s="16" t="s">
        <v>134</v>
      </c>
      <c r="G14" s="15" t="s">
        <v>54</v>
      </c>
      <c r="H14" s="15" t="s">
        <v>135</v>
      </c>
      <c r="I14" s="21" t="n">
        <v>4</v>
      </c>
      <c r="J14" s="21" t="n">
        <v>4</v>
      </c>
      <c r="K14" s="16" t="s">
        <v>120</v>
      </c>
      <c r="L14" s="15" t="s">
        <v>47</v>
      </c>
      <c r="M14" s="16" t="s">
        <v>63</v>
      </c>
      <c r="N14" s="19" t="str">
        <f aca="false">IF(I14&gt;=5,IF(J14&gt;=4,"★ Target",IF(J14=3,"Profonda · UX media","Profonda · UX datata")),IF(I14&gt;=4,IF(J14&gt;=4,"★ Target",IF(J14=3,"Profonda · UX media","Profonda · UX datata")),IF(J14&gt;=4,"UX alta · contab. debole","Base / nicchia")))</f>
        <v>★ Target</v>
      </c>
      <c r="O14" s="15" t="s">
        <v>136</v>
      </c>
      <c r="P14" s="20" t="s">
        <v>50</v>
      </c>
    </row>
    <row r="15" customFormat="false" ht="57.75" hidden="false" customHeight="true" outlineLevel="0" collapsed="false">
      <c r="A15" s="4" t="s">
        <v>137</v>
      </c>
      <c r="B15" s="28" t="s">
        <v>138</v>
      </c>
      <c r="C15" s="15" t="s">
        <v>109</v>
      </c>
      <c r="D15" s="15" t="s">
        <v>47</v>
      </c>
      <c r="E15" s="15" t="s">
        <v>139</v>
      </c>
      <c r="F15" s="16" t="s">
        <v>70</v>
      </c>
      <c r="G15" s="15" t="s">
        <v>140</v>
      </c>
      <c r="H15" s="15" t="s">
        <v>141</v>
      </c>
      <c r="I15" s="25" t="n">
        <v>3</v>
      </c>
      <c r="J15" s="25" t="n">
        <v>3</v>
      </c>
      <c r="K15" s="16" t="s">
        <v>46</v>
      </c>
      <c r="L15" s="15" t="s">
        <v>47</v>
      </c>
      <c r="M15" s="16" t="s">
        <v>47</v>
      </c>
      <c r="N15" s="19" t="str">
        <f aca="false">IF(I15&gt;=5,IF(J15&gt;=4,"★ Target",IF(J15=3,"Profonda · UX media","Profonda · UX datata")),IF(I15&gt;=4,IF(J15&gt;=4,"★ Target",IF(J15=3,"Profonda · UX media","Profonda · UX datata")),IF(J15&gt;=4,"UX alta · contab. debole","Base / nicchia")))</f>
        <v>Base / nicchia</v>
      </c>
      <c r="O15" s="15" t="s">
        <v>142</v>
      </c>
      <c r="P15" s="22" t="s">
        <v>65</v>
      </c>
    </row>
    <row r="16" customFormat="false" ht="57.75" hidden="false" customHeight="true" outlineLevel="0" collapsed="false">
      <c r="A16" s="4" t="s">
        <v>143</v>
      </c>
      <c r="B16" s="28" t="s">
        <v>138</v>
      </c>
      <c r="C16" s="15" t="s">
        <v>109</v>
      </c>
      <c r="D16" s="15" t="s">
        <v>47</v>
      </c>
      <c r="E16" s="15" t="s">
        <v>117</v>
      </c>
      <c r="F16" s="16" t="s">
        <v>70</v>
      </c>
      <c r="G16" s="15" t="s">
        <v>144</v>
      </c>
      <c r="H16" s="15" t="s">
        <v>145</v>
      </c>
      <c r="I16" s="17" t="n">
        <v>2</v>
      </c>
      <c r="J16" s="25" t="n">
        <v>3</v>
      </c>
      <c r="K16" s="16" t="s">
        <v>41</v>
      </c>
      <c r="L16" s="15" t="s">
        <v>62</v>
      </c>
      <c r="M16" s="16" t="s">
        <v>47</v>
      </c>
      <c r="N16" s="19" t="str">
        <f aca="false">IF(I16&gt;=5,IF(J16&gt;=4,"★ Target",IF(J16=3,"Profonda · UX media","Profonda · UX datata")),IF(I16&gt;=4,IF(J16&gt;=4,"★ Target",IF(J16=3,"Profonda · UX media","Profonda · UX datata")),IF(J16&gt;=4,"UX alta · contab. debole","Base / nicchia")))</f>
        <v>Base / nicchia</v>
      </c>
      <c r="O16" s="15" t="s">
        <v>146</v>
      </c>
      <c r="P16" s="29" t="s">
        <v>147</v>
      </c>
    </row>
    <row r="17" customFormat="false" ht="57.75" hidden="false" customHeight="true" outlineLevel="0" collapsed="false">
      <c r="A17" s="4" t="s">
        <v>148</v>
      </c>
      <c r="B17" s="14" t="s">
        <v>39</v>
      </c>
      <c r="C17" s="15" t="s">
        <v>40</v>
      </c>
      <c r="D17" s="15" t="s">
        <v>41</v>
      </c>
      <c r="E17" s="15" t="s">
        <v>89</v>
      </c>
      <c r="F17" s="16" t="s">
        <v>149</v>
      </c>
      <c r="G17" s="15" t="s">
        <v>54</v>
      </c>
      <c r="H17" s="15" t="s">
        <v>150</v>
      </c>
      <c r="I17" s="17" t="n">
        <v>2</v>
      </c>
      <c r="J17" s="21" t="n">
        <v>4</v>
      </c>
      <c r="K17" s="16" t="s">
        <v>46</v>
      </c>
      <c r="L17" s="15" t="s">
        <v>47</v>
      </c>
      <c r="M17" s="16" t="s">
        <v>56</v>
      </c>
      <c r="N17" s="19" t="str">
        <f aca="false">IF(I17&gt;=5,IF(J17&gt;=4,"★ Target",IF(J17=3,"Profonda · UX media","Profonda · UX datata")),IF(I17&gt;=4,IF(J17&gt;=4,"★ Target",IF(J17=3,"Profonda · UX media","Profonda · UX datata")),IF(J17&gt;=4,"UX alta · contab. debole","Base / nicchia")))</f>
        <v>UX alta · contab. debole</v>
      </c>
      <c r="O17" s="15" t="s">
        <v>151</v>
      </c>
      <c r="P17" s="22" t="s">
        <v>65</v>
      </c>
    </row>
    <row r="18" customFormat="false" ht="57.75" hidden="false" customHeight="true" outlineLevel="0" collapsed="false">
      <c r="A18" s="4" t="s">
        <v>152</v>
      </c>
      <c r="B18" s="14" t="s">
        <v>39</v>
      </c>
      <c r="C18" s="15" t="s">
        <v>153</v>
      </c>
      <c r="D18" s="15" t="s">
        <v>154</v>
      </c>
      <c r="E18" s="15" t="s">
        <v>155</v>
      </c>
      <c r="F18" s="16" t="s">
        <v>156</v>
      </c>
      <c r="G18" s="15" t="s">
        <v>157</v>
      </c>
      <c r="H18" s="15" t="s">
        <v>158</v>
      </c>
      <c r="I18" s="17" t="n">
        <v>2</v>
      </c>
      <c r="J18" s="25" t="n">
        <v>3</v>
      </c>
      <c r="K18" s="16" t="s">
        <v>159</v>
      </c>
      <c r="L18" s="15" t="s">
        <v>160</v>
      </c>
      <c r="M18" s="16" t="s">
        <v>161</v>
      </c>
      <c r="N18" s="19" t="str">
        <f aca="false">IF(I18&gt;=5,IF(J18&gt;=4,"★ Target",IF(J18=3,"Profonda · UX media","Profonda · UX datata")),IF(I18&gt;=4,IF(J18&gt;=4,"★ Target",IF(J18=3,"Profonda · UX media","Profonda · UX datata")),IF(J18&gt;=4,"UX alta · contab. debole","Base / nicchia")))</f>
        <v>Base / nicchia</v>
      </c>
      <c r="O18" s="15" t="s">
        <v>162</v>
      </c>
      <c r="P18" s="29" t="s">
        <v>147</v>
      </c>
    </row>
    <row r="19" customFormat="false" ht="57.75" hidden="false" customHeight="true" outlineLevel="0" collapsed="false">
      <c r="A19" s="4" t="s">
        <v>163</v>
      </c>
      <c r="B19" s="28" t="s">
        <v>138</v>
      </c>
      <c r="C19" s="15" t="s">
        <v>164</v>
      </c>
      <c r="D19" s="15" t="s">
        <v>41</v>
      </c>
      <c r="E19" s="15" t="s">
        <v>165</v>
      </c>
      <c r="F19" s="16" t="s">
        <v>166</v>
      </c>
      <c r="G19" s="15" t="s">
        <v>167</v>
      </c>
      <c r="H19" s="15" t="s">
        <v>168</v>
      </c>
      <c r="I19" s="17" t="n">
        <v>2</v>
      </c>
      <c r="J19" s="21" t="n">
        <v>4</v>
      </c>
      <c r="K19" s="16" t="s">
        <v>46</v>
      </c>
      <c r="L19" s="15" t="s">
        <v>47</v>
      </c>
      <c r="M19" s="16" t="s">
        <v>47</v>
      </c>
      <c r="N19" s="19" t="str">
        <f aca="false">IF(I19&gt;=5,IF(J19&gt;=4,"★ Target",IF(J19=3,"Profonda · UX media","Profonda · UX datata")),IF(I19&gt;=4,IF(J19&gt;=4,"★ Target",IF(J19=3,"Profonda · UX media","Profonda · UX datata")),IF(J19&gt;=4,"UX alta · contab. debole","Base / nicchia")))</f>
        <v>UX alta · contab. debole</v>
      </c>
      <c r="O19" s="15" t="s">
        <v>169</v>
      </c>
      <c r="P19" s="22" t="s">
        <v>65</v>
      </c>
    </row>
    <row r="20" customFormat="false" ht="57.75" hidden="false" customHeight="true" outlineLevel="0" collapsed="false">
      <c r="A20" s="4" t="s">
        <v>170</v>
      </c>
      <c r="B20" s="28" t="s">
        <v>138</v>
      </c>
      <c r="C20" s="15" t="s">
        <v>40</v>
      </c>
      <c r="D20" s="15" t="s">
        <v>41</v>
      </c>
      <c r="E20" s="15" t="s">
        <v>165</v>
      </c>
      <c r="F20" s="16" t="s">
        <v>171</v>
      </c>
      <c r="G20" s="15" t="s">
        <v>172</v>
      </c>
      <c r="H20" s="15" t="s">
        <v>173</v>
      </c>
      <c r="I20" s="17" t="n">
        <v>2</v>
      </c>
      <c r="J20" s="21" t="n">
        <v>4</v>
      </c>
      <c r="K20" s="16" t="s">
        <v>41</v>
      </c>
      <c r="L20" s="15" t="s">
        <v>41</v>
      </c>
      <c r="M20" s="16" t="s">
        <v>47</v>
      </c>
      <c r="N20" s="19" t="str">
        <f aca="false">IF(I20&gt;=5,IF(J20&gt;=4,"★ Target",IF(J20=3,"Profonda · UX media","Profonda · UX datata")),IF(I20&gt;=4,IF(J20&gt;=4,"★ Target",IF(J20=3,"Profonda · UX media","Profonda · UX datata")),IF(J20&gt;=4,"UX alta · contab. debole","Base / nicchia")))</f>
        <v>UX alta · contab. debole</v>
      </c>
      <c r="O20" s="15" t="s">
        <v>174</v>
      </c>
      <c r="P20" s="29" t="s">
        <v>147</v>
      </c>
    </row>
    <row r="21" customFormat="false" ht="57.75" hidden="false" customHeight="true" outlineLevel="0" collapsed="false">
      <c r="A21" s="30" t="s">
        <v>175</v>
      </c>
      <c r="B21" s="27" t="s">
        <v>108</v>
      </c>
      <c r="C21" s="15" t="s">
        <v>176</v>
      </c>
      <c r="D21" s="15" t="s">
        <v>177</v>
      </c>
      <c r="E21" s="15" t="s">
        <v>178</v>
      </c>
      <c r="F21" s="16" t="s">
        <v>179</v>
      </c>
      <c r="G21" s="15" t="s">
        <v>180</v>
      </c>
      <c r="H21" s="15" t="s">
        <v>181</v>
      </c>
      <c r="I21" s="18" t="n">
        <v>5</v>
      </c>
      <c r="J21" s="18" t="n">
        <v>5</v>
      </c>
      <c r="K21" s="16" t="s">
        <v>182</v>
      </c>
      <c r="L21" s="15" t="s">
        <v>183</v>
      </c>
      <c r="M21" s="16" t="s">
        <v>184</v>
      </c>
      <c r="N21" s="31" t="str">
        <f aca="false">IF(I21&gt;=5,IF(J21&gt;=4,"★ Target",IF(J21=3,"Profonda · UX media","Profonda · UX datata")),IF(I21&gt;=4,IF(J21&gt;=4,"★ Target",IF(J21=3,"Profonda · UX media","Profonda · UX datata")),IF(J21&gt;=4,"UX alta · contab. debole","Base / nicchia")))</f>
        <v>★ Target</v>
      </c>
      <c r="O21" s="15" t="s">
        <v>185</v>
      </c>
      <c r="P21" s="32" t="s">
        <v>186</v>
      </c>
    </row>
  </sheetData>
  <autoFilter ref="A1:P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56"/>
    <col collapsed="false" customWidth="true" hidden="false" outlineLevel="0" max="4" min="4" style="0" width="12"/>
  </cols>
  <sheetData>
    <row r="1" customFormat="false" ht="21.75" hidden="false" customHeight="true" outlineLevel="0" collapsed="false">
      <c r="A1" s="33" t="s">
        <v>187</v>
      </c>
      <c r="B1" s="33" t="s">
        <v>188</v>
      </c>
      <c r="C1" s="33" t="s">
        <v>189</v>
      </c>
      <c r="D1" s="33" t="s">
        <v>190</v>
      </c>
    </row>
    <row r="2" customFormat="false" ht="33.75" hidden="false" customHeight="true" outlineLevel="0" collapsed="false">
      <c r="A2" s="34" t="s">
        <v>191</v>
      </c>
      <c r="B2" s="35" t="s">
        <v>12</v>
      </c>
      <c r="C2" s="15" t="s">
        <v>192</v>
      </c>
      <c r="D2" s="20" t="s">
        <v>193</v>
      </c>
    </row>
    <row r="3" customFormat="false" ht="33.75" hidden="false" customHeight="true" outlineLevel="0" collapsed="false">
      <c r="A3" s="34" t="s">
        <v>194</v>
      </c>
      <c r="B3" s="35" t="s">
        <v>195</v>
      </c>
      <c r="C3" s="15" t="s">
        <v>196</v>
      </c>
      <c r="D3" s="20" t="s">
        <v>193</v>
      </c>
    </row>
    <row r="4" customFormat="false" ht="33.75" hidden="false" customHeight="true" outlineLevel="0" collapsed="false">
      <c r="A4" s="34" t="s">
        <v>197</v>
      </c>
      <c r="B4" s="35" t="s">
        <v>195</v>
      </c>
      <c r="C4" s="15" t="s">
        <v>198</v>
      </c>
      <c r="D4" s="20" t="s">
        <v>193</v>
      </c>
    </row>
    <row r="5" customFormat="false" ht="33.75" hidden="false" customHeight="true" outlineLevel="0" collapsed="false">
      <c r="A5" s="34" t="s">
        <v>199</v>
      </c>
      <c r="B5" s="35" t="s">
        <v>200</v>
      </c>
      <c r="C5" s="15" t="s">
        <v>201</v>
      </c>
      <c r="D5" s="20" t="s">
        <v>193</v>
      </c>
    </row>
    <row r="6" customFormat="false" ht="33.75" hidden="false" customHeight="true" outlineLevel="0" collapsed="false">
      <c r="A6" s="34" t="s">
        <v>202</v>
      </c>
      <c r="B6" s="35" t="s">
        <v>122</v>
      </c>
      <c r="C6" s="15" t="s">
        <v>203</v>
      </c>
      <c r="D6" s="20" t="s">
        <v>193</v>
      </c>
    </row>
    <row r="7" customFormat="false" ht="33.75" hidden="false" customHeight="true" outlineLevel="0" collapsed="false">
      <c r="A7" s="34" t="s">
        <v>204</v>
      </c>
      <c r="B7" s="35" t="s">
        <v>205</v>
      </c>
      <c r="C7" s="15" t="s">
        <v>206</v>
      </c>
      <c r="D7" s="22" t="s">
        <v>207</v>
      </c>
    </row>
    <row r="8" customFormat="false" ht="33.75" hidden="false" customHeight="true" outlineLevel="0" collapsed="false">
      <c r="A8" s="34" t="s">
        <v>208</v>
      </c>
      <c r="B8" s="35" t="s">
        <v>209</v>
      </c>
      <c r="C8" s="15" t="s">
        <v>210</v>
      </c>
      <c r="D8" s="22" t="s">
        <v>207</v>
      </c>
    </row>
    <row r="9" customFormat="false" ht="33.75" hidden="false" customHeight="true" outlineLevel="0" collapsed="false">
      <c r="A9" s="34" t="s">
        <v>211</v>
      </c>
      <c r="B9" s="35" t="s">
        <v>212</v>
      </c>
      <c r="C9" s="15" t="s">
        <v>213</v>
      </c>
      <c r="D9" s="22" t="s">
        <v>207</v>
      </c>
    </row>
    <row r="10" customFormat="false" ht="33.75" hidden="false" customHeight="true" outlineLevel="0" collapsed="false">
      <c r="A10" s="34" t="s">
        <v>214</v>
      </c>
      <c r="B10" s="35" t="s">
        <v>212</v>
      </c>
      <c r="C10" s="15" t="s">
        <v>215</v>
      </c>
      <c r="D10" s="22" t="s">
        <v>207</v>
      </c>
    </row>
    <row r="11" customFormat="false" ht="33.75" hidden="false" customHeight="true" outlineLevel="0" collapsed="false">
      <c r="A11" s="34" t="s">
        <v>216</v>
      </c>
      <c r="B11" s="35" t="s">
        <v>217</v>
      </c>
      <c r="C11" s="15" t="s">
        <v>218</v>
      </c>
      <c r="D11" s="22" t="s">
        <v>207</v>
      </c>
    </row>
    <row r="12" customFormat="false" ht="33.75" hidden="false" customHeight="true" outlineLevel="0" collapsed="false">
      <c r="A12" s="34" t="s">
        <v>219</v>
      </c>
      <c r="B12" s="35" t="s">
        <v>220</v>
      </c>
      <c r="C12" s="15" t="s">
        <v>221</v>
      </c>
      <c r="D12" s="22" t="s">
        <v>207</v>
      </c>
    </row>
    <row r="13" customFormat="false" ht="33.75" hidden="false" customHeight="true" outlineLevel="0" collapsed="false">
      <c r="A13" s="34" t="s">
        <v>222</v>
      </c>
      <c r="B13" s="35" t="s">
        <v>223</v>
      </c>
      <c r="C13" s="15" t="s">
        <v>224</v>
      </c>
      <c r="D13" s="22" t="s">
        <v>207</v>
      </c>
    </row>
    <row r="14" customFormat="false" ht="33.75" hidden="false" customHeight="true" outlineLevel="0" collapsed="false">
      <c r="A14" s="34" t="s">
        <v>225</v>
      </c>
      <c r="B14" s="35" t="s">
        <v>226</v>
      </c>
      <c r="C14" s="15" t="s">
        <v>227</v>
      </c>
      <c r="D14" s="22" t="s">
        <v>207</v>
      </c>
    </row>
    <row r="15" customFormat="false" ht="33.75" hidden="false" customHeight="true" outlineLevel="0" collapsed="false">
      <c r="A15" s="34" t="s">
        <v>228</v>
      </c>
      <c r="B15" s="35" t="s">
        <v>229</v>
      </c>
      <c r="C15" s="15" t="s">
        <v>230</v>
      </c>
      <c r="D15" s="36" t="s">
        <v>231</v>
      </c>
    </row>
    <row r="16" customFormat="false" ht="33.75" hidden="false" customHeight="true" outlineLevel="0" collapsed="false">
      <c r="A16" s="34" t="s">
        <v>232</v>
      </c>
      <c r="B16" s="35" t="s">
        <v>233</v>
      </c>
      <c r="C16" s="15" t="s">
        <v>234</v>
      </c>
      <c r="D16" s="36" t="s">
        <v>231</v>
      </c>
    </row>
    <row r="17" customFormat="false" ht="33.75" hidden="false" customHeight="true" outlineLevel="0" collapsed="false">
      <c r="A17" s="34" t="s">
        <v>235</v>
      </c>
      <c r="B17" s="35" t="s">
        <v>195</v>
      </c>
      <c r="C17" s="15" t="s">
        <v>236</v>
      </c>
      <c r="D17" s="36" t="s">
        <v>231</v>
      </c>
    </row>
    <row r="18" customFormat="false" ht="33.75" hidden="false" customHeight="true" outlineLevel="0" collapsed="false">
      <c r="A18" s="34" t="s">
        <v>237</v>
      </c>
      <c r="B18" s="35" t="s">
        <v>238</v>
      </c>
      <c r="C18" s="15" t="s">
        <v>239</v>
      </c>
      <c r="D18" s="36" t="s">
        <v>231</v>
      </c>
    </row>
    <row r="19" customFormat="false" ht="33.75" hidden="false" customHeight="true" outlineLevel="0" collapsed="false">
      <c r="A19" s="34" t="s">
        <v>240</v>
      </c>
      <c r="B19" s="35" t="s">
        <v>241</v>
      </c>
      <c r="C19" s="15" t="s">
        <v>242</v>
      </c>
      <c r="D19" s="29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52"/>
    <col collapsed="false" customWidth="true" hidden="false" outlineLevel="0" max="4" min="4" style="0" width="20"/>
    <col collapsed="false" customWidth="true" hidden="false" outlineLevel="0" max="5" min="5" style="0" width="3"/>
  </cols>
  <sheetData>
    <row r="2" customFormat="false" ht="17.35" hidden="false" customHeight="false" outlineLevel="0" collapsed="false">
      <c r="B2" s="37" t="s">
        <v>244</v>
      </c>
    </row>
    <row r="4" customFormat="false" ht="15" hidden="false" customHeight="false" outlineLevel="0" collapsed="false">
      <c r="B4" s="33" t="s">
        <v>35</v>
      </c>
      <c r="C4" s="33" t="s">
        <v>245</v>
      </c>
      <c r="D4" s="33" t="s">
        <v>246</v>
      </c>
    </row>
    <row r="5" customFormat="false" ht="51.75" hidden="false" customHeight="true" outlineLevel="0" collapsed="false">
      <c r="B5" s="38" t="s">
        <v>247</v>
      </c>
      <c r="C5" s="15" t="s">
        <v>248</v>
      </c>
      <c r="D5" s="15" t="s">
        <v>249</v>
      </c>
    </row>
    <row r="6" customFormat="false" ht="51.75" hidden="false" customHeight="true" outlineLevel="0" collapsed="false">
      <c r="B6" s="39" t="s">
        <v>250</v>
      </c>
      <c r="C6" s="15" t="s">
        <v>251</v>
      </c>
      <c r="D6" s="15" t="s">
        <v>252</v>
      </c>
    </row>
    <row r="7" customFormat="false" ht="51.75" hidden="false" customHeight="true" outlineLevel="0" collapsed="false">
      <c r="B7" s="40" t="s">
        <v>253</v>
      </c>
      <c r="C7" s="15" t="s">
        <v>254</v>
      </c>
      <c r="D7" s="15" t="s">
        <v>255</v>
      </c>
    </row>
    <row r="8" customFormat="false" ht="51.75" hidden="false" customHeight="true" outlineLevel="0" collapsed="false">
      <c r="B8" s="30" t="s">
        <v>256</v>
      </c>
      <c r="C8" s="41" t="s">
        <v>257</v>
      </c>
      <c r="D8" s="41" t="s">
        <v>258</v>
      </c>
    </row>
    <row r="10" customFormat="false" ht="15" hidden="false" customHeight="false" outlineLevel="0" collapsed="false">
      <c r="B10" s="42" t="s">
        <v>259</v>
      </c>
      <c r="C10" s="42"/>
      <c r="D10" s="42"/>
    </row>
    <row r="11" customFormat="false" ht="15" hidden="false" customHeight="true" outlineLevel="0" collapsed="false">
      <c r="B11" s="43" t="s">
        <v>260</v>
      </c>
      <c r="C11" s="43"/>
      <c r="D11" s="43"/>
    </row>
    <row r="12" customFormat="false" ht="15" hidden="false" customHeight="false" outlineLevel="0" collapsed="false">
      <c r="B12" s="43"/>
      <c r="C12" s="43"/>
      <c r="D12" s="43"/>
    </row>
    <row r="13" customFormat="false" ht="15" hidden="false" customHeight="false" outlineLevel="0" collapsed="false">
      <c r="B13" s="43"/>
      <c r="C13" s="43"/>
      <c r="D13" s="43"/>
    </row>
    <row r="14" customFormat="false" ht="15" hidden="false" customHeight="false" outlineLevel="0" collapsed="false">
      <c r="B14" s="43"/>
      <c r="C14" s="43"/>
      <c r="D14" s="43"/>
    </row>
  </sheetData>
  <mergeCells count="2">
    <mergeCell ref="B10:D10"/>
    <mergeCell ref="B11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2026-06-21T22:37:14Z</dcterms:created>
  <dc:creator>openpyxl</dc:creator>
  <dc:description/>
  <dc:language>en-US</dc:language>
  <cp:lastModifiedBy/>
  <dcterms:modified xsi:type="dcterms:W3CDTF">2026-06-21T22:37:14Z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